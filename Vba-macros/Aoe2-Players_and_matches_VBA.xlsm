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ata Analysis\Excel-exercises\Vba-macros\"/>
    </mc:Choice>
  </mc:AlternateContent>
  <xr:revisionPtr revIDLastSave="0" documentId="13_ncr:1_{39AA7337-B0B9-4B8C-A744-A6B9230D3B6F}" xr6:coauthVersionLast="47" xr6:coauthVersionMax="47" xr10:uidLastSave="{00000000-0000-0000-0000-000000000000}"/>
  <bookViews>
    <workbookView xWindow="-120" yWindow="-120" windowWidth="29040" windowHeight="15720" xr2:uid="{45EEC47D-5F7F-4823-BAA3-438AB325F7D5}"/>
  </bookViews>
  <sheets>
    <sheet name="Dashboard" sheetId="2" r:id="rId1"/>
    <sheet name="Players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2" l="1"/>
</calcChain>
</file>

<file path=xl/sharedStrings.xml><?xml version="1.0" encoding="utf-8"?>
<sst xmlns="http://schemas.openxmlformats.org/spreadsheetml/2006/main" count="72" uniqueCount="68">
  <si>
    <t>[Fs] FASTURTLE</t>
  </si>
  <si>
    <t>[Fs] Jubileu</t>
  </si>
  <si>
    <t>[Fs] Floripa</t>
  </si>
  <si>
    <t>[Fs] Beringela</t>
  </si>
  <si>
    <t>[Fs] MK</t>
  </si>
  <si>
    <t>[Fs] vitorluzpoiato</t>
  </si>
  <si>
    <t>[Fs] guischmitt</t>
  </si>
  <si>
    <t>[Fs] PoeiraCósmica</t>
  </si>
  <si>
    <t>[Fs] Black</t>
  </si>
  <si>
    <t>[Fs] Reap3r</t>
  </si>
  <si>
    <t>[Fs] Flamechaos</t>
  </si>
  <si>
    <t>[Fs] ShaDoWn</t>
  </si>
  <si>
    <t>[Fs] zWilly</t>
  </si>
  <si>
    <t>[Fs] SlicKs</t>
  </si>
  <si>
    <t>[Fs] Kawan</t>
  </si>
  <si>
    <t>[Fs] Aquiles</t>
  </si>
  <si>
    <t>[Fs] Xefres</t>
  </si>
  <si>
    <t>[Fs] Zero</t>
  </si>
  <si>
    <t>[Fs] Costinha</t>
  </si>
  <si>
    <t>[Fs] Nicolau</t>
  </si>
  <si>
    <t>[Fs] JADSON</t>
  </si>
  <si>
    <t>[Fs] Ricfuria</t>
  </si>
  <si>
    <t>[Fs] Hitshangui</t>
  </si>
  <si>
    <t>[Fs] Blinhão</t>
  </si>
  <si>
    <t>[Fs] TchachaBr</t>
  </si>
  <si>
    <t>[Fs] TomaHawk</t>
  </si>
  <si>
    <t>[Fs] AgeOfTheKing</t>
  </si>
  <si>
    <t>[Fs] MortelentaBr</t>
  </si>
  <si>
    <t>[Fs] Powerstone</t>
  </si>
  <si>
    <t>[Fs] Maju</t>
  </si>
  <si>
    <t>[Fs] Cavalo</t>
  </si>
  <si>
    <t>[Fs] 7Mendes</t>
  </si>
  <si>
    <t>[Fs] hiGhly_</t>
  </si>
  <si>
    <t>[Fs] Palada</t>
  </si>
  <si>
    <t>[Fs] Redykill</t>
  </si>
  <si>
    <t>[Fs] NegoDrama</t>
  </si>
  <si>
    <t>[Fs] Didigo</t>
  </si>
  <si>
    <t>[Fs] Mtx</t>
  </si>
  <si>
    <t>[Fs] Jack the joker</t>
  </si>
  <si>
    <t>[Fs] Gobbo</t>
  </si>
  <si>
    <t>[Fs] ChuracoRS</t>
  </si>
  <si>
    <t>[Fs] Andre_Lgc</t>
  </si>
  <si>
    <t>[Fs] Motta</t>
  </si>
  <si>
    <t>[Fs] SaNgar</t>
  </si>
  <si>
    <t>[Fs] Du</t>
  </si>
  <si>
    <t>[Fs] Minduca</t>
  </si>
  <si>
    <t>[Fs] Marques</t>
  </si>
  <si>
    <t>[Fs] General Enk</t>
  </si>
  <si>
    <t>[Fs] Patty Thompkins</t>
  </si>
  <si>
    <t>[Fs] VCTT</t>
  </si>
  <si>
    <t>[Fs] Gausmann</t>
  </si>
  <si>
    <t>[Fs] ebenato</t>
  </si>
  <si>
    <t>[Fs] DrCovid</t>
  </si>
  <si>
    <t>[Fs] JonyBravo</t>
  </si>
  <si>
    <t>[Fs] Glauco</t>
  </si>
  <si>
    <t>[Fs] O_Flexa</t>
  </si>
  <si>
    <t>Player</t>
  </si>
  <si>
    <t>Profile ID</t>
  </si>
  <si>
    <t>Player:</t>
  </si>
  <si>
    <t>Profile ID:</t>
  </si>
  <si>
    <t>N/A</t>
  </si>
  <si>
    <t>Games:</t>
  </si>
  <si>
    <t>Victories:</t>
  </si>
  <si>
    <t>Losses:</t>
  </si>
  <si>
    <t>Actual 1v1 Elo:</t>
  </si>
  <si>
    <t>Select a Player</t>
  </si>
  <si>
    <t>Actual Team Game Elo:</t>
  </si>
  <si>
    <t>Last 5 Matches: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</si>
</sst>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scheme val="minor"/>
    </font>
    <font>
      <sz val="10"/>
      <color rgb="FF000000"/>
      <name val="Roboto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0070C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 tint="-0.499984740745262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0" fontId="4" fillId="2" borderId="0" xfId="0" applyFont="1" applyFill="1"/>
    <xf numFmtId="0" fontId="0" fillId="0" borderId="0" xfId="0" applyAlignment="1">
      <alignment horizontal="center"/>
    </xf>
    <xf numFmtId="0" fontId="5" fillId="3" borderId="0" xfId="0" applyFont="1" applyFill="1" applyAlignment="1">
      <alignment horizont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  <xf numFmtId="0" fontId="2" fillId="0" borderId="1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2" fillId="0" borderId="0" xfId="0" applyFont="1"/>
    <xf numFmtId="0" fontId="1" fillId="5" borderId="0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6" borderId="0" xfId="0" applyFont="1" applyFill="1" applyBorder="1" applyAlignment="1">
      <alignment horizontal="center" vertical="center"/>
    </xf>
    <xf numFmtId="0" fontId="1" fillId="7" borderId="0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</cellXfs>
  <cellStyles count="1">
    <cellStyle name="Normal" xfId="0" builtinId="0"/>
  </cellStyles>
  <dxfs count="3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897548</xdr:colOff>
      <xdr:row>1</xdr:row>
      <xdr:rowOff>38099</xdr:rowOff>
    </xdr:from>
    <xdr:to>
      <xdr:col>2</xdr:col>
      <xdr:colOff>402732</xdr:colOff>
      <xdr:row>7</xdr:row>
      <xdr:rowOff>35446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EEED53F-10BE-C3CD-778A-1E3DA94DD8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7148" y="228599"/>
          <a:ext cx="1219684" cy="1140347"/>
        </a:xfrm>
        <a:prstGeom prst="rect">
          <a:avLst/>
        </a:prstGeom>
      </xdr:spPr>
    </xdr:pic>
    <xdr:clientData/>
  </xdr:twoCellAnchor>
  <xdr:twoCellAnchor>
    <xdr:from>
      <xdr:col>3</xdr:col>
      <xdr:colOff>200025</xdr:colOff>
      <xdr:row>7</xdr:row>
      <xdr:rowOff>95250</xdr:rowOff>
    </xdr:from>
    <xdr:to>
      <xdr:col>5</xdr:col>
      <xdr:colOff>533400</xdr:colOff>
      <xdr:row>9</xdr:row>
      <xdr:rowOff>76200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8BF357AF-7D81-3203-6945-DDEB0A498069}"/>
            </a:ext>
          </a:extLst>
        </xdr:cNvPr>
        <xdr:cNvSpPr/>
      </xdr:nvSpPr>
      <xdr:spPr>
        <a:xfrm>
          <a:off x="3752850" y="1428750"/>
          <a:ext cx="1552575" cy="381000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39EDCE-D3C8-42B8-BF26-B32DB3876754}" name="Table1" displayName="Table1" ref="A1:B57" totalsRowShown="0" headerRowDxfId="0">
  <autoFilter ref="A1:B57" xr:uid="{7F39EDCE-D3C8-42B8-BF26-B32DB3876754}"/>
  <sortState xmlns:xlrd2="http://schemas.microsoft.com/office/spreadsheetml/2017/richdata2" ref="A2:B57">
    <sortCondition ref="A2:A57"/>
  </sortState>
  <tableColumns count="2">
    <tableColumn id="1" xr3:uid="{919753F0-A867-4302-B3E6-D34566AB9BB0}" name="Player" dataDxfId="2"/>
    <tableColumn id="2" xr3:uid="{159A769B-20AE-4037-8A42-EE7CF242505D}" name="Profile ID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1C5AA-F92F-4080-B39D-B4DB282E5A03}">
  <sheetPr codeName="Sheet1"/>
  <dimension ref="B8:H27"/>
  <sheetViews>
    <sheetView tabSelected="1" workbookViewId="0">
      <selection activeCell="C16" sqref="C16"/>
    </sheetView>
  </sheetViews>
  <sheetFormatPr defaultRowHeight="15" x14ac:dyDescent="0.25"/>
  <cols>
    <col min="2" max="2" width="25.7109375" bestFit="1" customWidth="1"/>
    <col min="3" max="3" width="18.42578125" customWidth="1"/>
  </cols>
  <sheetData>
    <row r="8" spans="2:8" ht="15.75" thickBot="1" x14ac:dyDescent="0.3"/>
    <row r="9" spans="2:8" ht="15.75" thickBot="1" x14ac:dyDescent="0.3">
      <c r="B9" s="8" t="s">
        <v>58</v>
      </c>
      <c r="C9" s="11"/>
      <c r="G9" s="12" t="s">
        <v>65</v>
      </c>
      <c r="H9" s="12"/>
    </row>
    <row r="10" spans="2:8" x14ac:dyDescent="0.25">
      <c r="B10" s="9" t="s">
        <v>64</v>
      </c>
      <c r="C10" s="13"/>
    </row>
    <row r="11" spans="2:8" x14ac:dyDescent="0.25">
      <c r="B11" s="9" t="s">
        <v>66</v>
      </c>
      <c r="C11" s="13"/>
    </row>
    <row r="12" spans="2:8" x14ac:dyDescent="0.25">
      <c r="B12" s="9" t="s">
        <v>59</v>
      </c>
      <c r="C12" s="13" t="str">
        <f>IFERROR(VLOOKUP(C9,Table1[],2,FALSE),"N/A")</f>
        <v>N/A</v>
      </c>
    </row>
    <row r="13" spans="2:8" x14ac:dyDescent="0.25">
      <c r="B13" s="9" t="s">
        <v>61</v>
      </c>
      <c r="C13" s="16"/>
    </row>
    <row r="14" spans="2:8" x14ac:dyDescent="0.25">
      <c r="B14" s="9" t="s">
        <v>62</v>
      </c>
      <c r="C14" s="15"/>
    </row>
    <row r="15" spans="2:8" ht="15.75" thickBot="1" x14ac:dyDescent="0.3">
      <c r="B15" s="10" t="s">
        <v>63</v>
      </c>
      <c r="C15" s="14"/>
    </row>
    <row r="16" spans="2:8" x14ac:dyDescent="0.25">
      <c r="B16" s="6"/>
      <c r="C16" s="6"/>
    </row>
    <row r="17" spans="2:3" x14ac:dyDescent="0.25">
      <c r="B17" s="6"/>
      <c r="C17" s="6"/>
    </row>
    <row r="18" spans="2:3" x14ac:dyDescent="0.25">
      <c r="B18" s="17" t="s">
        <v>67</v>
      </c>
      <c r="C18" s="6"/>
    </row>
    <row r="19" spans="2:3" x14ac:dyDescent="0.25">
      <c r="B19" s="6"/>
      <c r="C19" s="6"/>
    </row>
    <row r="20" spans="2:3" x14ac:dyDescent="0.25">
      <c r="B20" s="6"/>
      <c r="C20" s="6"/>
    </row>
    <row r="21" spans="2:3" x14ac:dyDescent="0.25">
      <c r="B21" s="6"/>
      <c r="C21" s="6"/>
    </row>
    <row r="22" spans="2:3" x14ac:dyDescent="0.25">
      <c r="B22" s="6"/>
      <c r="C22" s="6"/>
    </row>
    <row r="23" spans="2:3" x14ac:dyDescent="0.25">
      <c r="B23" s="6"/>
      <c r="C23" s="6"/>
    </row>
    <row r="24" spans="2:3" x14ac:dyDescent="0.25">
      <c r="B24" s="6"/>
      <c r="C24" s="6"/>
    </row>
    <row r="25" spans="2:3" x14ac:dyDescent="0.25">
      <c r="B25" s="6"/>
      <c r="C25" s="6"/>
    </row>
    <row r="26" spans="2:3" x14ac:dyDescent="0.25">
      <c r="B26" s="6"/>
      <c r="C26" s="6"/>
    </row>
    <row r="27" spans="2:3" x14ac:dyDescent="0.25">
      <c r="B27" s="17"/>
      <c r="C27" s="6"/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D5AF8652-72DD-45A0-A6A5-3BE3F7B9251F}">
          <x14:formula1>
            <xm:f>Players!$A$2:$A$57</xm:f>
          </x14:formula1>
          <xm:sqref>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91F48-FDBF-4A20-8723-0511816E9D7F}">
  <sheetPr codeName="Sheet2"/>
  <dimension ref="A1:B57"/>
  <sheetViews>
    <sheetView workbookViewId="0">
      <selection activeCell="B51" sqref="B51"/>
    </sheetView>
  </sheetViews>
  <sheetFormatPr defaultRowHeight="15" x14ac:dyDescent="0.25"/>
  <cols>
    <col min="1" max="1" width="17.5703125" bestFit="1" customWidth="1"/>
    <col min="2" max="2" width="18.85546875" style="4" bestFit="1" customWidth="1"/>
  </cols>
  <sheetData>
    <row r="1" spans="1:2" x14ac:dyDescent="0.25">
      <c r="A1" s="5" t="s">
        <v>56</v>
      </c>
      <c r="B1" s="5" t="s">
        <v>57</v>
      </c>
    </row>
    <row r="2" spans="1:2" x14ac:dyDescent="0.25">
      <c r="A2" s="1" t="s">
        <v>31</v>
      </c>
      <c r="B2" s="2">
        <v>1297115</v>
      </c>
    </row>
    <row r="3" spans="1:2" x14ac:dyDescent="0.25">
      <c r="A3" s="1" t="s">
        <v>26</v>
      </c>
      <c r="B3" s="2">
        <v>628948</v>
      </c>
    </row>
    <row r="4" spans="1:2" x14ac:dyDescent="0.25">
      <c r="A4" s="1" t="s">
        <v>41</v>
      </c>
      <c r="B4" s="2">
        <v>254049</v>
      </c>
    </row>
    <row r="5" spans="1:2" x14ac:dyDescent="0.25">
      <c r="A5" s="1" t="s">
        <v>15</v>
      </c>
      <c r="B5" s="2">
        <v>276889</v>
      </c>
    </row>
    <row r="6" spans="1:2" x14ac:dyDescent="0.25">
      <c r="A6" s="1" t="s">
        <v>3</v>
      </c>
      <c r="B6" s="2">
        <v>3095989</v>
      </c>
    </row>
    <row r="7" spans="1:2" x14ac:dyDescent="0.25">
      <c r="A7" s="1" t="s">
        <v>8</v>
      </c>
      <c r="B7" s="2">
        <v>9509227</v>
      </c>
    </row>
    <row r="8" spans="1:2" x14ac:dyDescent="0.25">
      <c r="A8" s="1" t="s">
        <v>23</v>
      </c>
      <c r="B8" s="2">
        <v>454166</v>
      </c>
    </row>
    <row r="9" spans="1:2" x14ac:dyDescent="0.25">
      <c r="A9" s="1" t="s">
        <v>30</v>
      </c>
      <c r="B9" s="2">
        <v>2853675</v>
      </c>
    </row>
    <row r="10" spans="1:2" x14ac:dyDescent="0.25">
      <c r="A10" s="1" t="s">
        <v>40</v>
      </c>
      <c r="B10" s="2">
        <v>1596766</v>
      </c>
    </row>
    <row r="11" spans="1:2" x14ac:dyDescent="0.25">
      <c r="A11" s="1" t="s">
        <v>18</v>
      </c>
      <c r="B11" s="2">
        <v>2460005</v>
      </c>
    </row>
    <row r="12" spans="1:2" x14ac:dyDescent="0.25">
      <c r="A12" s="1" t="s">
        <v>36</v>
      </c>
      <c r="B12" s="7" t="s">
        <v>60</v>
      </c>
    </row>
    <row r="13" spans="1:2" x14ac:dyDescent="0.25">
      <c r="A13" s="1" t="s">
        <v>52</v>
      </c>
      <c r="B13" s="2">
        <v>4166548</v>
      </c>
    </row>
    <row r="14" spans="1:2" x14ac:dyDescent="0.25">
      <c r="A14" s="1" t="s">
        <v>44</v>
      </c>
      <c r="B14" s="2">
        <v>14332838</v>
      </c>
    </row>
    <row r="15" spans="1:2" x14ac:dyDescent="0.25">
      <c r="A15" s="1" t="s">
        <v>51</v>
      </c>
      <c r="B15" s="2">
        <v>1346854</v>
      </c>
    </row>
    <row r="16" spans="1:2" x14ac:dyDescent="0.25">
      <c r="A16" s="1" t="s">
        <v>0</v>
      </c>
      <c r="B16" s="2">
        <v>2861438</v>
      </c>
    </row>
    <row r="17" spans="1:2" x14ac:dyDescent="0.25">
      <c r="A17" s="1" t="s">
        <v>10</v>
      </c>
      <c r="B17" s="2">
        <v>800739</v>
      </c>
    </row>
    <row r="18" spans="1:2" x14ac:dyDescent="0.25">
      <c r="A18" s="1" t="s">
        <v>2</v>
      </c>
      <c r="B18" s="2">
        <v>2609872</v>
      </c>
    </row>
    <row r="19" spans="1:2" x14ac:dyDescent="0.25">
      <c r="A19" s="1" t="s">
        <v>50</v>
      </c>
      <c r="B19" s="4" t="s">
        <v>60</v>
      </c>
    </row>
    <row r="20" spans="1:2" x14ac:dyDescent="0.25">
      <c r="A20" s="1" t="s">
        <v>47</v>
      </c>
      <c r="B20" s="2">
        <v>1612939</v>
      </c>
    </row>
    <row r="21" spans="1:2" x14ac:dyDescent="0.25">
      <c r="A21" s="1" t="s">
        <v>54</v>
      </c>
      <c r="B21" s="4" t="s">
        <v>60</v>
      </c>
    </row>
    <row r="22" spans="1:2" x14ac:dyDescent="0.25">
      <c r="A22" s="1" t="s">
        <v>39</v>
      </c>
      <c r="B22" s="2">
        <v>811733</v>
      </c>
    </row>
    <row r="23" spans="1:2" x14ac:dyDescent="0.25">
      <c r="A23" s="1" t="s">
        <v>6</v>
      </c>
      <c r="B23" s="2">
        <v>6008539</v>
      </c>
    </row>
    <row r="24" spans="1:2" x14ac:dyDescent="0.25">
      <c r="A24" s="1" t="s">
        <v>32</v>
      </c>
      <c r="B24" s="2">
        <v>8990857</v>
      </c>
    </row>
    <row r="25" spans="1:2" x14ac:dyDescent="0.25">
      <c r="A25" s="1" t="s">
        <v>22</v>
      </c>
      <c r="B25" s="2">
        <v>1521490</v>
      </c>
    </row>
    <row r="26" spans="1:2" x14ac:dyDescent="0.25">
      <c r="A26" s="1" t="s">
        <v>38</v>
      </c>
      <c r="B26" s="7" t="s">
        <v>60</v>
      </c>
    </row>
    <row r="27" spans="1:2" x14ac:dyDescent="0.25">
      <c r="A27" s="1" t="s">
        <v>20</v>
      </c>
      <c r="B27" s="2">
        <v>4839710</v>
      </c>
    </row>
    <row r="28" spans="1:2" x14ac:dyDescent="0.25">
      <c r="A28" s="1" t="s">
        <v>53</v>
      </c>
      <c r="B28" s="2">
        <v>14450594</v>
      </c>
    </row>
    <row r="29" spans="1:2" x14ac:dyDescent="0.25">
      <c r="A29" s="3" t="s">
        <v>1</v>
      </c>
      <c r="B29" s="2">
        <v>284552</v>
      </c>
    </row>
    <row r="30" spans="1:2" x14ac:dyDescent="0.25">
      <c r="A30" s="1" t="s">
        <v>14</v>
      </c>
      <c r="B30" s="2">
        <v>10952501</v>
      </c>
    </row>
    <row r="31" spans="1:2" x14ac:dyDescent="0.25">
      <c r="A31" s="1" t="s">
        <v>29</v>
      </c>
      <c r="B31" s="2">
        <v>2324516</v>
      </c>
    </row>
    <row r="32" spans="1:2" x14ac:dyDescent="0.25">
      <c r="A32" s="1" t="s">
        <v>46</v>
      </c>
      <c r="B32" s="2">
        <v>1363742</v>
      </c>
    </row>
    <row r="33" spans="1:2" x14ac:dyDescent="0.25">
      <c r="A33" s="1" t="s">
        <v>45</v>
      </c>
      <c r="B33" s="2">
        <v>1868119</v>
      </c>
    </row>
    <row r="34" spans="1:2" x14ac:dyDescent="0.25">
      <c r="A34" s="1" t="s">
        <v>4</v>
      </c>
      <c r="B34" s="2">
        <v>5323486</v>
      </c>
    </row>
    <row r="35" spans="1:2" x14ac:dyDescent="0.25">
      <c r="A35" s="1" t="s">
        <v>27</v>
      </c>
      <c r="B35" s="2">
        <v>222736</v>
      </c>
    </row>
    <row r="36" spans="1:2" x14ac:dyDescent="0.25">
      <c r="A36" s="1" t="s">
        <v>42</v>
      </c>
      <c r="B36" s="2">
        <v>9754717</v>
      </c>
    </row>
    <row r="37" spans="1:2" x14ac:dyDescent="0.25">
      <c r="A37" s="1" t="s">
        <v>37</v>
      </c>
      <c r="B37" s="2">
        <v>11493774</v>
      </c>
    </row>
    <row r="38" spans="1:2" x14ac:dyDescent="0.25">
      <c r="A38" s="1" t="s">
        <v>35</v>
      </c>
      <c r="B38" s="2">
        <v>12429463</v>
      </c>
    </row>
    <row r="39" spans="1:2" x14ac:dyDescent="0.25">
      <c r="A39" s="1" t="s">
        <v>19</v>
      </c>
      <c r="B39" s="2">
        <v>2294644</v>
      </c>
    </row>
    <row r="40" spans="1:2" x14ac:dyDescent="0.25">
      <c r="A40" s="1" t="s">
        <v>55</v>
      </c>
      <c r="B40" s="2">
        <v>3431528</v>
      </c>
    </row>
    <row r="41" spans="1:2" x14ac:dyDescent="0.25">
      <c r="A41" s="1" t="s">
        <v>33</v>
      </c>
      <c r="B41" s="2">
        <v>3369632</v>
      </c>
    </row>
    <row r="42" spans="1:2" x14ac:dyDescent="0.25">
      <c r="A42" s="1" t="s">
        <v>48</v>
      </c>
      <c r="B42" s="7" t="s">
        <v>60</v>
      </c>
    </row>
    <row r="43" spans="1:2" x14ac:dyDescent="0.25">
      <c r="A43" s="1" t="s">
        <v>7</v>
      </c>
      <c r="B43" s="2">
        <v>620649</v>
      </c>
    </row>
    <row r="44" spans="1:2" x14ac:dyDescent="0.25">
      <c r="A44" s="1" t="s">
        <v>28</v>
      </c>
      <c r="B44" s="2">
        <v>5845487</v>
      </c>
    </row>
    <row r="45" spans="1:2" x14ac:dyDescent="0.25">
      <c r="A45" s="1" t="s">
        <v>9</v>
      </c>
      <c r="B45" s="2">
        <v>2847988</v>
      </c>
    </row>
    <row r="46" spans="1:2" x14ac:dyDescent="0.25">
      <c r="A46" s="1" t="s">
        <v>34</v>
      </c>
      <c r="B46" s="2">
        <v>10401783</v>
      </c>
    </row>
    <row r="47" spans="1:2" x14ac:dyDescent="0.25">
      <c r="A47" s="1" t="s">
        <v>21</v>
      </c>
      <c r="B47" s="2">
        <v>6742585</v>
      </c>
    </row>
    <row r="48" spans="1:2" x14ac:dyDescent="0.25">
      <c r="A48" s="1" t="s">
        <v>43</v>
      </c>
      <c r="B48" s="2">
        <v>910031</v>
      </c>
    </row>
    <row r="49" spans="1:2" x14ac:dyDescent="0.25">
      <c r="A49" s="1" t="s">
        <v>11</v>
      </c>
      <c r="B49" s="2">
        <v>1636695</v>
      </c>
    </row>
    <row r="50" spans="1:2" x14ac:dyDescent="0.25">
      <c r="A50" s="1" t="s">
        <v>13</v>
      </c>
      <c r="B50" s="2">
        <v>2259036</v>
      </c>
    </row>
    <row r="51" spans="1:2" x14ac:dyDescent="0.25">
      <c r="A51" s="1" t="s">
        <v>24</v>
      </c>
      <c r="B51" s="2">
        <v>6170464</v>
      </c>
    </row>
    <row r="52" spans="1:2" x14ac:dyDescent="0.25">
      <c r="A52" s="1" t="s">
        <v>25</v>
      </c>
      <c r="B52" s="2">
        <v>278650</v>
      </c>
    </row>
    <row r="53" spans="1:2" x14ac:dyDescent="0.25">
      <c r="A53" s="1" t="s">
        <v>49</v>
      </c>
      <c r="B53" s="2">
        <v>2265190</v>
      </c>
    </row>
    <row r="54" spans="1:2" x14ac:dyDescent="0.25">
      <c r="A54" s="1" t="s">
        <v>5</v>
      </c>
      <c r="B54" s="2">
        <v>5281267</v>
      </c>
    </row>
    <row r="55" spans="1:2" x14ac:dyDescent="0.25">
      <c r="A55" s="1" t="s">
        <v>16</v>
      </c>
      <c r="B55" s="2">
        <v>2869032</v>
      </c>
    </row>
    <row r="56" spans="1:2" x14ac:dyDescent="0.25">
      <c r="A56" s="1" t="s">
        <v>17</v>
      </c>
      <c r="B56" s="2">
        <v>1076004</v>
      </c>
    </row>
    <row r="57" spans="1:2" x14ac:dyDescent="0.25">
      <c r="A57" s="1" t="s">
        <v>12</v>
      </c>
      <c r="B57" s="2">
        <v>5301298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Dashboard</vt:lpstr>
      <vt:lpstr>Players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Filipe Silva</dc:creator>
  <cp:lastModifiedBy>Filipe Silva</cp:lastModifiedBy>
  <dcterms:created xsi:type="dcterms:W3CDTF">2023-07-14T08:52:59Z</dcterms:created>
  <dcterms:modified xsi:type="dcterms:W3CDTF">2023-07-14T12:16:47Z</dcterms:modified>
</cp:coreProperties>
</file>